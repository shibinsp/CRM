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🎨 Brand Color Palette" sheetId="1" state="visible" r:id="rId3"/>
    <sheet name="📊 Startup Financials" sheetId="2" state="visible" r:id="rId4"/>
    <sheet name="✅ Action Checklist" sheetId="3" state="visible" r:id="rId5"/>
    <sheet name="👥 Team Hierarch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<sst xmlns="http://schemas.openxmlformats.org/spreadsheetml/2006/main" count="321" uniqueCount="231">
  <si>
    <t xml:space="preserve">BEEAX AI TECH — Brand Color Palette</t>
  </si>
  <si>
    <t xml:space="preserve">Swatch</t>
  </si>
  <si>
    <t xml:space="preserve">Hex Code</t>
  </si>
  <si>
    <t xml:space="preserve">Color Name / Usage</t>
  </si>
  <si>
    <t xml:space="preserve">Variable Name</t>
  </si>
  <si>
    <t xml:space="preserve">  PRIMARY</t>
  </si>
  <si>
    <t xml:space="preserve">#D4A017</t>
  </si>
  <si>
    <t xml:space="preserve">Golden Yellow – CTAs, Icons</t>
  </si>
  <si>
    <t xml:space="preserve">--color-primary</t>
  </si>
  <si>
    <t xml:space="preserve">#F5C542</t>
  </si>
  <si>
    <t xml:space="preserve">Light Gold – Hover States</t>
  </si>
  <si>
    <t xml:space="preserve">--color-primary-light</t>
  </si>
  <si>
    <t xml:space="preserve">#B8860B</t>
  </si>
  <si>
    <t xml:space="preserve">Dark Gold – Pressed States</t>
  </si>
  <si>
    <t xml:space="preserve">--color-primary-dark</t>
  </si>
  <si>
    <t xml:space="preserve">  BACKGROUND</t>
  </si>
  <si>
    <t xml:space="preserve">#FDF5E6</t>
  </si>
  <si>
    <t xml:space="preserve">Warm Cream – Page Background</t>
  </si>
  <si>
    <t xml:space="preserve">--bg-page</t>
  </si>
  <si>
    <t xml:space="preserve">#FFF8E7</t>
  </si>
  <si>
    <t xml:space="preserve">Light Cream – Feature Cards</t>
  </si>
  <si>
    <t xml:space="preserve">--bg-card-light</t>
  </si>
  <si>
    <t xml:space="preserve">#1E2A3A</t>
  </si>
  <si>
    <t xml:space="preserve">Dark Navy – Dashboard Cards</t>
  </si>
  <si>
    <t xml:space="preserve">--bg-card-dark</t>
  </si>
  <si>
    <t xml:space="preserve">#1A1A1A</t>
  </si>
  <si>
    <t xml:space="preserve">Near Black – Sticky Navbar</t>
  </si>
  <si>
    <t xml:space="preserve">--bg-navbar</t>
  </si>
  <si>
    <t xml:space="preserve">  TEXT</t>
  </si>
  <si>
    <t xml:space="preserve">Near Black – Main Headings</t>
  </si>
  <si>
    <t xml:space="preserve">--text-heading</t>
  </si>
  <si>
    <t xml:space="preserve">#FFFFFF</t>
  </si>
  <si>
    <t xml:space="preserve">White – Hero Headings</t>
  </si>
  <si>
    <t xml:space="preserve">--text-heading-hero</t>
  </si>
  <si>
    <t xml:space="preserve">#6B7280</t>
  </si>
  <si>
    <t xml:space="preserve">Medium Gray – Body Text</t>
  </si>
  <si>
    <t xml:space="preserve">--text-body</t>
  </si>
  <si>
    <t xml:space="preserve">#9CA3AF</t>
  </si>
  <si>
    <t xml:space="preserve">Light Gray – Secondary Text</t>
  </si>
  <si>
    <t xml:space="preserve">--text-body-light</t>
  </si>
  <si>
    <t xml:space="preserve">Gold – Section Labels</t>
  </si>
  <si>
    <t xml:space="preserve">--text-section-label</t>
  </si>
  <si>
    <t xml:space="preserve">  BUTTON</t>
  </si>
  <si>
    <t xml:space="preserve">Dark – Get Started Button BG</t>
  </si>
  <si>
    <t xml:space="preserve">--btn-primary-bg</t>
  </si>
  <si>
    <t xml:space="preserve">Gold – CTA Text Links</t>
  </si>
  <si>
    <t xml:space="preserve">--btn-cta-text</t>
  </si>
  <si>
    <t xml:space="preserve">  ACCENT</t>
  </si>
  <si>
    <t xml:space="preserve">#E67E22</t>
  </si>
  <si>
    <t xml:space="preserve">Orange – Tech Stack Rows</t>
  </si>
  <si>
    <t xml:space="preserve">--accent-orange</t>
  </si>
  <si>
    <t xml:space="preserve">#C0392B</t>
  </si>
  <si>
    <t xml:space="preserve">Deep Red – Bottom Gradient</t>
  </si>
  <si>
    <t xml:space="preserve">--accent-red</t>
  </si>
  <si>
    <t xml:space="preserve">#27AE60</t>
  </si>
  <si>
    <t xml:space="preserve">Green – Success / Running Badge</t>
  </si>
  <si>
    <t xml:space="preserve">--accent-green</t>
  </si>
  <si>
    <t xml:space="preserve">#2ABFBF</t>
  </si>
  <si>
    <t xml:space="preserve">Teal – Contact Us Icon Accent</t>
  </si>
  <si>
    <t xml:space="preserve">--accent-teal</t>
  </si>
  <si>
    <t xml:space="preserve">  GRADIENT BAND</t>
  </si>
  <si>
    <t xml:space="preserve">#F5D547</t>
  </si>
  <si>
    <t xml:space="preserve">Bright Yellow</t>
  </si>
  <si>
    <t xml:space="preserve">--band-1</t>
  </si>
  <si>
    <t xml:space="preserve">#F0C040</t>
  </si>
  <si>
    <t xml:space="preserve">Medium Yellow-Gold</t>
  </si>
  <si>
    <t xml:space="preserve">--band-2</t>
  </si>
  <si>
    <t xml:space="preserve">#E8A030</t>
  </si>
  <si>
    <t xml:space="preserve">Orange-Gold</t>
  </si>
  <si>
    <t xml:space="preserve">--band-3</t>
  </si>
  <si>
    <t xml:space="preserve">#E07020</t>
  </si>
  <si>
    <t xml:space="preserve">Deep Orange</t>
  </si>
  <si>
    <t xml:space="preserve">--band-4</t>
  </si>
  <si>
    <t xml:space="preserve">#C83020</t>
  </si>
  <si>
    <t xml:space="preserve">Red</t>
  </si>
  <si>
    <t xml:space="preserve">--band-5</t>
  </si>
  <si>
    <t xml:space="preserve">© 2026 Beeax AI Tech Private Limited · Confidential Brand Assets</t>
  </si>
  <si>
    <t xml:space="preserve">BEEAX AI TECH — Financial Planning Dashboard</t>
  </si>
  <si>
    <t xml:space="preserve">REVENUE PROJECTIONS (₹ Lakhs)</t>
  </si>
  <si>
    <t xml:space="preserve">Service Line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</si>
  <si>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</si>
  <si>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</si>
  <si>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</si>
  <si>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</si>
  <si>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</si>
  <si>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CAGR</t>
  </si>
  <si>
    <t xml:space="preserve">Agentic AI Applications</t>
  </si>
  <si>
    <t xml:space="preserve">Custom AI Development</t>
  </si>
  <si>
    <t xml:space="preserve">AI Integration Services</t>
  </si>
  <si>
    <t xml:space="preserve">AI-Integrated Software</t>
  </si>
  <si>
    <t xml:space="preserve">AI Employees / Digital Workers</t>
  </si>
  <si>
    <t xml:space="preserve">Agentic Task Automation</t>
  </si>
  <si>
    <t xml:space="preserve">TOTAL REVENUE</t>
  </si>
  <si>
    <t xml:space="preserve">HEADCOUNT &amp; BURN PLAN</t>
  </si>
  <si>
    <t xml:space="preserve">Role</t>
  </si>
  <si>
    <t xml:space="preserve">Yr 1 Count</t>
  </si>
  <si>
    <t xml:space="preserve">Avg CTC (₹L)</t>
  </si>
  <si>
    <t xml:space="preserve">Yr 1 Cost</t>
  </si>
  <si>
    <t xml:space="preserve">Yr 3 Count</t>
  </si>
  <si>
    <t xml:space="preserve">Yr 3 Cost</t>
  </si>
  <si>
    <t xml:space="preserve">AI/ML Engineers</t>
  </si>
  <si>
    <t xml:space="preserve">Full-Stack Developers</t>
  </si>
  <si>
    <t xml:space="preserve">DevOps / MLOps</t>
  </si>
  <si>
    <t xml:space="preserve">Sales &amp; BD</t>
  </si>
  <si>
    <t xml:space="preserve">Product Managers</t>
  </si>
  <si>
    <t xml:space="preserve">Operations / HR</t>
  </si>
  <si>
    <t xml:space="preserve">TOTAL PAYROLL</t>
  </si>
  <si>
    <t xml:space="preserve">BEEAX AI TECH — Action Checklist &amp; Compliance Tracker</t>
  </si>
  <si>
    <t xml:space="preserve">  Immediate (Week 1–4)</t>
  </si>
  <si>
    <t xml:space="preserve">#</t>
  </si>
  <si>
    <t xml:space="preserve">Action Item</t>
  </si>
  <si>
    <t xml:space="preserve">Owner</t>
  </si>
  <si>
    <t xml:space="preserve">Priority</t>
  </si>
  <si>
    <t xml:space="preserve">Timeline</t>
  </si>
  <si>
    <t xml:space="preserve">Status</t>
  </si>
  <si>
    <t xml:space="preserve">Verify/complete company incorporation</t>
  </si>
  <si>
    <t xml:space="preserve">CEO</t>
  </si>
  <si>
    <t xml:space="preserve">High</t>
  </si>
  <si>
    <t xml:space="preserve">Week 1</t>
  </si>
  <si>
    <t xml:space="preserve">⬜ Pending</t>
  </si>
  <si>
    <t xml:space="preserve">File trademark application – Beeax AI Tech</t>
  </si>
  <si>
    <t xml:space="preserve">CEO + Legal</t>
  </si>
  <si>
    <t xml:space="preserve">Week 2</t>
  </si>
  <si>
    <t xml:space="preserve">Apply for DPIIT Startup Recognition</t>
  </si>
  <si>
    <t xml:space="preserve">Register for GST</t>
  </si>
  <si>
    <t xml:space="preserve">CFO / Accountant</t>
  </si>
  <si>
    <t xml:space="preserve">Week 3</t>
  </si>
  <si>
    <t xml:space="preserve">Draft Employee NDAs + IP Assignment agreements</t>
  </si>
  <si>
    <t xml:space="preserve">HR + Legal</t>
  </si>
  <si>
    <t xml:space="preserve">Set up RBAC and MFA for production systems</t>
  </si>
  <si>
    <t xml:space="preserve">CTO</t>
  </si>
  <si>
    <t xml:space="preserve">Critical</t>
  </si>
  <si>
    <t xml:space="preserve">Week 4</t>
  </si>
  <si>
    <t xml:space="preserve">Register MSME/Udyam</t>
  </si>
  <si>
    <t xml:space="preserve">Operations</t>
  </si>
  <si>
    <t xml:space="preserve">Medium</t>
  </si>
  <si>
    <t xml:space="preserve">Open company bank account</t>
  </si>
  <si>
    <t xml:space="preserve">CEO + CFO</t>
  </si>
  <si>
    <t xml:space="preserve">  Short-Term (Month 1–3)</t>
  </si>
  <si>
    <t xml:space="preserve">Draft MSA and SOW templates</t>
  </si>
  <si>
    <t xml:space="preserve">Legal + Sales</t>
  </si>
  <si>
    <t xml:space="preserve">Month 1</t>
  </si>
  <si>
    <t xml:space="preserve">Establish AI security and governance policy</t>
  </si>
  <si>
    <t xml:space="preserve">CTO + AI Security</t>
  </si>
  <si>
    <t xml:space="preserve">Implement data classification policy</t>
  </si>
  <si>
    <t xml:space="preserve">CTO + DPO</t>
  </si>
  <si>
    <t xml:space="preserve">Month 2</t>
  </si>
  <si>
    <t xml:space="preserve">Set up accounting + compliance calendar</t>
  </si>
  <si>
    <t xml:space="preserve">CFO</t>
  </si>
  <si>
    <t xml:space="preserve">Create employee handbook and Code of Conduct</t>
  </si>
  <si>
    <t xml:space="preserve">HR</t>
  </si>
  <si>
    <t xml:space="preserve">Conduct first board meeting</t>
  </si>
  <si>
    <t xml:space="preserve">Company Secretary</t>
  </si>
  <si>
    <t xml:space="preserve">Set up CI/CD pipeline with security scanning</t>
  </si>
  <si>
    <t xml:space="preserve">DevOps Lead</t>
  </si>
  <si>
    <t xml:space="preserve">Begin DPDPA compliance preparation</t>
  </si>
  <si>
    <t xml:space="preserve">DPO + Legal</t>
  </si>
  <si>
    <t xml:space="preserve">Month 3</t>
  </si>
  <si>
    <t xml:space="preserve">  Medium-Term (Month 3–6)</t>
  </si>
  <si>
    <t xml:space="preserve">File patents for novel AI innovations</t>
  </si>
  <si>
    <t xml:space="preserve">CTO + IP Attorney</t>
  </si>
  <si>
    <t xml:space="preserve">Month 4</t>
  </si>
  <si>
    <t xml:space="preserve">Establish AI ethics review process</t>
  </si>
  <si>
    <t xml:space="preserve">VP AI/ML + CEO</t>
  </si>
  <si>
    <t xml:space="preserve">Implement red teaming and adversarial testing</t>
  </si>
  <si>
    <t xml:space="preserve">AI Security Lead</t>
  </si>
  <si>
    <t xml:space="preserve">Apply for government grants/schemes</t>
  </si>
  <si>
    <t xml:space="preserve">CEO + BD</t>
  </si>
  <si>
    <t xml:space="preserve">Month 5</t>
  </si>
  <si>
    <t xml:space="preserve">Conduct first statutory audit</t>
  </si>
  <si>
    <t xml:space="preserve">CFO + CA</t>
  </si>
  <si>
    <t xml:space="preserve">Month 6</t>
  </si>
  <si>
    <t xml:space="preserve">Set up ESOP scheme</t>
  </si>
  <si>
    <t xml:space="preserve">CEO + Legal + CA</t>
  </si>
  <si>
    <t xml:space="preserve">Obtain ISO 27001 certification</t>
  </si>
  <si>
    <t xml:space="preserve">Operations + CTO</t>
  </si>
  <si>
    <t xml:space="preserve">BEEAX AI TECH — Organizational Hierarchy &amp; Roles</t>
  </si>
  <si>
    <t xml:space="preserve">  C-SUITE / FOUNDERS</t>
  </si>
  <si>
    <t xml:space="preserve">Designation</t>
  </si>
  <si>
    <t xml:space="preserve">Reports To</t>
  </si>
  <si>
    <t xml:space="preserve">Key Responsibilities</t>
  </si>
  <si>
    <t xml:space="preserve">CEO / Co-Founder</t>
  </si>
  <si>
    <t xml:space="preserve">Board of Directors</t>
  </si>
  <si>
    <t xml:space="preserve">Vision, strategy, fundraising, key client relationships</t>
  </si>
  <si>
    <t xml:space="preserve">CTO / Co-Founder</t>
  </si>
  <si>
    <t xml:space="preserve">Technical architecture, AI/ML strategy, R&amp;D, IP development</t>
  </si>
  <si>
    <t xml:space="preserve">COO (scaling)</t>
  </si>
  <si>
    <t xml:space="preserve">Operations, delivery management, HR, finance oversight</t>
  </si>
  <si>
    <t xml:space="preserve">CFO (scaling)</t>
  </si>
  <si>
    <t xml:space="preserve">Financial planning, compliance, fundraising support</t>
  </si>
  <si>
    <t xml:space="preserve">  LEADERSHIP / DEPARTMENT HEADS</t>
  </si>
  <si>
    <t xml:space="preserve">VP of Engineering</t>
  </si>
  <si>
    <t xml:space="preserve">Engineering management, sprint planning, code quality</t>
  </si>
  <si>
    <t xml:space="preserve">VP of AI/ML</t>
  </si>
  <si>
    <t xml:space="preserve">AI model development, research direction, MLOps</t>
  </si>
  <si>
    <t xml:space="preserve">VP of Product</t>
  </si>
  <si>
    <t xml:space="preserve">Product roadmap, feature prioritization, market fit</t>
  </si>
  <si>
    <t xml:space="preserve">VP of Sales &amp; BD</t>
  </si>
  <si>
    <t xml:space="preserve">Revenue targets, client acquisition, partnerships</t>
  </si>
  <si>
    <t xml:space="preserve">Head of Operations</t>
  </si>
  <si>
    <t xml:space="preserve">COO</t>
  </si>
  <si>
    <t xml:space="preserve">Delivery, SLAs, resource allocation</t>
  </si>
  <si>
    <t xml:space="preserve">Head of HR &amp; Culture</t>
  </si>
  <si>
    <t xml:space="preserve">Hiring, retention, culture, compliance</t>
  </si>
  <si>
    <t xml:space="preserve">  INDIVIDUAL CONTRIBUTORS</t>
  </si>
  <si>
    <t xml:space="preserve">Senior AI/ML Engineer (IC-3)</t>
  </si>
  <si>
    <t xml:space="preserve">VP AI/ML</t>
  </si>
  <si>
    <t xml:space="preserve">Design and train AI models, mentor juniors</t>
  </si>
  <si>
    <t xml:space="preserve">AI/ML Engineer (IC-2)</t>
  </si>
  <si>
    <t xml:space="preserve">Senior AI/ML Eng.</t>
  </si>
  <si>
    <t xml:space="preserve">Implement models, run experiments, data pipelines</t>
  </si>
  <si>
    <t xml:space="preserve">Junior AI/ML Engineer (IC-1)</t>
  </si>
  <si>
    <t xml:space="preserve">AI/ML Engineer</t>
  </si>
  <si>
    <t xml:space="preserve">Data preprocessing, annotation, basic training</t>
  </si>
  <si>
    <t xml:space="preserve">Senior Full-Stack Developer (IC-3)</t>
  </si>
  <si>
    <t xml:space="preserve">VP Engineering</t>
  </si>
  <si>
    <t xml:space="preserve">AI-integrated apps, API design, system architecture</t>
  </si>
  <si>
    <t xml:space="preserve">DevOps / MLOps Engineer (IC-2)</t>
  </si>
  <si>
    <t xml:space="preserve">CI/CD, model deployment, infrastructure, monitoring</t>
  </si>
  <si>
    <t xml:space="preserve">AI Solutions Architect (IC-3)</t>
  </si>
  <si>
    <t xml:space="preserve">Client-facing technical design, PoC development</t>
  </si>
  <si>
    <t xml:space="preserve">QA / AI Testing Engineer (IC-2)</t>
  </si>
  <si>
    <t xml:space="preserve">Test AI outputs, bias testing, regression testing</t>
  </si>
  <si>
    <t xml:space="preserve">Product Manager (IC-3)</t>
  </si>
  <si>
    <t xml:space="preserve">VP Product</t>
  </si>
  <si>
    <t xml:space="preserve">Feature specs, user stories, stakeholder communication</t>
  </si>
  <si>
    <t xml:space="preserve">Business Development Executive (IC-2)</t>
  </si>
  <si>
    <t xml:space="preserve">VP Sales</t>
  </si>
  <si>
    <t xml:space="preserve">Lead generation, proposals, client onboarding</t>
  </si>
  <si>
    <t xml:space="preserve">Technical Writer (IC-1)</t>
  </si>
  <si>
    <t xml:space="preserve">API docs, user guides, internal documentation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</si>
</sst>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D4A017"/>
      <name val="Arial Black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Courier New"/>
      <family val="0"/>
      <charset val="1"/>
    </font>
    <font>
      <sz val="10"/>
      <color rgb="FF1A1A1A"/>
      <name val="Arial"/>
      <family val="0"/>
      <charset val="1"/>
    </font>
    <font>
      <sz val="9"/>
      <color rgb="FFB8860B"/>
      <name val="Courier New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6"/>
      <color rgb="FFFFFFFF"/>
      <name val="Arial Black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5"/>
      <color rgb="FFFFFFFF"/>
      <name val="Arial Black"/>
      <family val="0"/>
      <charset val="1"/>
    </font>
    <font>
      <sz val="10"/>
      <color rgb="FF6B7280"/>
      <name val="Arial"/>
      <family val="0"/>
      <charset val="1"/>
    </font>
    <font>
      <sz val="10"/>
      <color rgb="FFB8860B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A1A1A"/>
        <bgColor rgb="FF1E2A3A"/>
      </patternFill>
    </fill>
    <fill>
      <patternFill patternType="solid">
        <fgColor rgb="FFB8860B"/>
        <bgColor rgb="FFD4A017"/>
      </patternFill>
    </fill>
    <fill>
      <patternFill patternType="solid">
        <fgColor rgb="FFD4A017"/>
        <bgColor rgb="FFE8A030"/>
      </patternFill>
    </fill>
    <fill>
      <patternFill patternType="solid">
        <fgColor rgb="FFF8F4ED"/>
        <bgColor rgb="FFFDF5E6"/>
      </patternFill>
    </fill>
    <fill>
      <patternFill patternType="solid">
        <fgColor rgb="FFFFFFFF"/>
        <bgColor rgb="FFFFF8E7"/>
      </patternFill>
    </fill>
    <fill>
      <patternFill patternType="solid">
        <fgColor rgb="FFF5C542"/>
        <bgColor rgb="FFF0C040"/>
      </patternFill>
    </fill>
    <fill>
      <patternFill patternType="solid">
        <fgColor rgb="FFFDF5E6"/>
        <bgColor rgb="FFFFF8E7"/>
      </patternFill>
    </fill>
    <fill>
      <patternFill patternType="solid">
        <fgColor rgb="FF8B6914"/>
        <bgColor rgb="FFB8860B"/>
      </patternFill>
    </fill>
    <fill>
      <patternFill patternType="solid">
        <fgColor rgb="FFFFF8E7"/>
        <bgColor rgb="FFFDF5E6"/>
      </patternFill>
    </fill>
    <fill>
      <patternFill patternType="solid">
        <fgColor rgb="FF1E2A3A"/>
        <bgColor rgb="FF1F3A1F"/>
      </patternFill>
    </fill>
    <fill>
      <patternFill patternType="solid">
        <fgColor rgb="FF6B7280"/>
        <bgColor rgb="FF8B6914"/>
      </patternFill>
    </fill>
    <fill>
      <patternFill patternType="solid">
        <fgColor rgb="FF9CA3AF"/>
        <bgColor rgb="FF9999FF"/>
      </patternFill>
    </fill>
    <fill>
      <patternFill patternType="solid">
        <fgColor rgb="FF1F3A1F"/>
        <bgColor rgb="FF1A4040"/>
      </patternFill>
    </fill>
    <fill>
      <patternFill patternType="solid">
        <fgColor rgb="FF1A4040"/>
        <bgColor rgb="FF1F3A1F"/>
      </patternFill>
    </fill>
    <fill>
      <patternFill patternType="solid">
        <fgColor rgb="FFE67E22"/>
        <bgColor rgb="FFE07020"/>
      </patternFill>
    </fill>
    <fill>
      <patternFill patternType="solid">
        <fgColor rgb="FFC0392B"/>
        <bgColor rgb="FFC83020"/>
      </patternFill>
    </fill>
    <fill>
      <patternFill patternType="solid">
        <fgColor rgb="FF27AE60"/>
        <bgColor rgb="FF2ABFBF"/>
      </patternFill>
    </fill>
    <fill>
      <patternFill patternType="solid">
        <fgColor rgb="FF2ABFBF"/>
        <bgColor rgb="FF00CCFF"/>
      </patternFill>
    </fill>
    <fill>
      <patternFill patternType="solid">
        <fgColor rgb="FF8B1A1A"/>
        <bgColor rgb="FF800000"/>
      </patternFill>
    </fill>
    <fill>
      <patternFill patternType="solid">
        <fgColor rgb="FFF5D547"/>
        <bgColor rgb="FFF5C542"/>
      </patternFill>
    </fill>
    <fill>
      <patternFill patternType="solid">
        <fgColor rgb="FFF0C040"/>
        <bgColor rgb="FFF5C542"/>
      </patternFill>
    </fill>
    <fill>
      <patternFill patternType="solid">
        <fgColor rgb="FFE8A030"/>
        <bgColor rgb="FFD4A017"/>
      </patternFill>
    </fill>
    <fill>
      <patternFill patternType="solid">
        <fgColor rgb="FFE07020"/>
        <bgColor rgb="FFE67E22"/>
      </patternFill>
    </fill>
    <fill>
      <patternFill patternType="solid">
        <fgColor rgb="FFC83020"/>
        <bgColor rgb="FFC0392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5E0D5"/>
      </left>
      <right style="thin">
        <color rgb="FFE5E0D5"/>
      </right>
      <top style="thin">
        <color rgb="FFE5E0D5"/>
      </top>
      <bottom style="thin">
        <color rgb="FFE5E0D5"/>
      </bottom>
      <diagonal/>
    </border>
    <border diagonalUp="false" diagonalDown="false"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  <border diagonalUp="false" diagonalDown="false">
      <left style="thin">
        <color rgb="FFE5E0D5"/>
      </left>
      <right/>
      <top style="thin">
        <color rgb="FFE5E0D5"/>
      </top>
      <bottom style="thin">
        <color rgb="FFE5E0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C04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B8860B"/>
      <rgbColor rgb="FF9999FF"/>
      <rgbColor rgb="FFC0392B"/>
      <rgbColor rgb="FFFFF8E7"/>
      <rgbColor rgb="FFF8F4ED"/>
      <rgbColor rgb="FF660066"/>
      <rgbColor rgb="FFE67E22"/>
      <rgbColor rgb="FF0066CC"/>
      <rgbColor rgb="FFE5E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5E6"/>
      <rgbColor rgb="FF99CCFF"/>
      <rgbColor rgb="FFFF99CC"/>
      <rgbColor rgb="FFCC99FF"/>
      <rgbColor rgb="FFF5D547"/>
      <rgbColor rgb="FF3366FF"/>
      <rgbColor rgb="FF2ABFBF"/>
      <rgbColor rgb="FFD4A017"/>
      <rgbColor rgb="FFF5C542"/>
      <rgbColor rgb="FFE8A030"/>
      <rgbColor rgb="FFE07020"/>
      <rgbColor rgb="FF6B7280"/>
      <rgbColor rgb="FF9CA3AF"/>
      <rgbColor rgb="FF1A4040"/>
      <rgbColor rgb="FF27AE60"/>
      <rgbColor rgb="FF1A1A1A"/>
      <rgbColor rgb="FF1F3A1F"/>
      <rgbColor rgb="FF8B1A1A"/>
      <rgbColor rgb="FFC83020"/>
      <rgbColor rgb="FF333399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574920</xdr:colOff>
      <xdr:row>0</xdr:row>
      <xdr:rowOff>923400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856800" cy="923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9</xdr:col>
      <xdr:colOff>475920</xdr:colOff>
      <xdr:row>0</xdr:row>
      <xdr:rowOff>514080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9399240" y="0"/>
          <a:ext cx="4759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6</xdr:col>
      <xdr:colOff>475920</xdr:colOff>
      <xdr:row>1</xdr:row>
      <xdr:rowOff>9360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7682760" y="0"/>
          <a:ext cx="4759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475920</xdr:colOff>
      <xdr:row>1</xdr:row>
      <xdr:rowOff>9360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7400880" y="0"/>
          <a:ext cx="4759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79.5" hidden="false" customHeight="true" outlineLevel="0" collapsed="false">
      <c r="B1" s="1" t="s">
        <v>0</v>
      </c>
      <c r="C1" s="1"/>
      <c r="D1" s="1"/>
      <c r="E1" s="1"/>
    </row>
    <row r="2" customFormat="false" ht="24.75" hidden="false" customHeight="true" outlineLevel="0" collapsed="false"/>
    <row r="3" customFormat="false" ht="21.75" hidden="false" customHeight="true" outlineLevel="0" collapsed="false">
      <c r="B3" s="2" t="s">
        <v>1</v>
      </c>
      <c r="C3" s="2" t="s">
        <v>2</v>
      </c>
      <c r="D3" s="2" t="s">
        <v>3</v>
      </c>
      <c r="E3" s="2" t="s">
        <v>4</v>
      </c>
    </row>
    <row r="4" customFormat="false" ht="21.75" hidden="false" customHeight="true" outlineLevel="0" collapsed="false">
      <c r="B4" s="3" t="s">
        <v>5</v>
      </c>
      <c r="C4" s="3"/>
      <c r="D4" s="3"/>
      <c r="E4" s="3"/>
    </row>
    <row r="5" customFormat="false" ht="21.75" hidden="false" customHeight="true" outlineLevel="0" collapsed="false">
      <c r="B5" s="4"/>
      <c r="C5" s="5" t="s">
        <v>6</v>
      </c>
      <c r="D5" s="6" t="s">
        <v>7</v>
      </c>
      <c r="E5" s="7" t="s">
        <v>8</v>
      </c>
    </row>
    <row r="6" customFormat="false" ht="21.75" hidden="false" customHeight="true" outlineLevel="0" collapsed="false">
      <c r="B6" s="8"/>
      <c r="C6" s="5" t="s">
        <v>9</v>
      </c>
      <c r="D6" s="9" t="s">
        <v>10</v>
      </c>
      <c r="E6" s="10" t="s">
        <v>11</v>
      </c>
    </row>
    <row r="7" customFormat="false" ht="21.75" hidden="false" customHeight="true" outlineLevel="0" collapsed="false">
      <c r="B7" s="11"/>
      <c r="C7" s="5" t="s">
        <v>12</v>
      </c>
      <c r="D7" s="6" t="s">
        <v>13</v>
      </c>
      <c r="E7" s="7" t="s">
        <v>14</v>
      </c>
    </row>
    <row r="8" customFormat="false" ht="21.75" hidden="false" customHeight="true" outlineLevel="0" collapsed="false">
      <c r="B8" s="12" t="s">
        <v>15</v>
      </c>
      <c r="C8" s="12"/>
      <c r="D8" s="12"/>
      <c r="E8" s="12"/>
    </row>
    <row r="9" customFormat="false" ht="21.75" hidden="false" customHeight="true" outlineLevel="0" collapsed="false">
      <c r="B9" s="13"/>
      <c r="C9" s="5" t="s">
        <v>16</v>
      </c>
      <c r="D9" s="6" t="s">
        <v>17</v>
      </c>
      <c r="E9" s="7" t="s">
        <v>18</v>
      </c>
    </row>
    <row r="10" customFormat="false" ht="21.75" hidden="false" customHeight="true" outlineLevel="0" collapsed="false">
      <c r="B10" s="14"/>
      <c r="C10" s="5" t="s">
        <v>19</v>
      </c>
      <c r="D10" s="9" t="s">
        <v>20</v>
      </c>
      <c r="E10" s="10" t="s">
        <v>21</v>
      </c>
    </row>
    <row r="11" customFormat="false" ht="21.75" hidden="false" customHeight="true" outlineLevel="0" collapsed="false">
      <c r="B11" s="15"/>
      <c r="C11" s="5" t="s">
        <v>22</v>
      </c>
      <c r="D11" s="6" t="s">
        <v>23</v>
      </c>
      <c r="E11" s="7" t="s">
        <v>24</v>
      </c>
    </row>
    <row r="12" customFormat="false" ht="21.75" hidden="false" customHeight="true" outlineLevel="0" collapsed="false">
      <c r="B12" s="16"/>
      <c r="C12" s="5" t="s">
        <v>25</v>
      </c>
      <c r="D12" s="9" t="s">
        <v>26</v>
      </c>
      <c r="E12" s="10" t="s">
        <v>27</v>
      </c>
    </row>
    <row r="13" customFormat="false" ht="21.75" hidden="false" customHeight="true" outlineLevel="0" collapsed="false">
      <c r="B13" s="17" t="s">
        <v>28</v>
      </c>
      <c r="C13" s="17"/>
      <c r="D13" s="17"/>
      <c r="E13" s="17"/>
    </row>
    <row r="14" customFormat="false" ht="21.75" hidden="false" customHeight="true" outlineLevel="0" collapsed="false">
      <c r="B14" s="16"/>
      <c r="C14" s="5" t="s">
        <v>25</v>
      </c>
      <c r="D14" s="9" t="s">
        <v>29</v>
      </c>
      <c r="E14" s="10" t="s">
        <v>30</v>
      </c>
    </row>
    <row r="15" customFormat="false" ht="21.75" hidden="false" customHeight="true" outlineLevel="0" collapsed="false">
      <c r="B15" s="18"/>
      <c r="C15" s="5" t="s">
        <v>31</v>
      </c>
      <c r="D15" s="6" t="s">
        <v>32</v>
      </c>
      <c r="E15" s="7" t="s">
        <v>33</v>
      </c>
    </row>
    <row r="16" customFormat="false" ht="21.75" hidden="false" customHeight="true" outlineLevel="0" collapsed="false">
      <c r="B16" s="19"/>
      <c r="C16" s="5" t="s">
        <v>34</v>
      </c>
      <c r="D16" s="9" t="s">
        <v>35</v>
      </c>
      <c r="E16" s="10" t="s">
        <v>36</v>
      </c>
    </row>
    <row r="17" customFormat="false" ht="21.75" hidden="false" customHeight="true" outlineLevel="0" collapsed="false">
      <c r="B17" s="20"/>
      <c r="C17" s="5" t="s">
        <v>37</v>
      </c>
      <c r="D17" s="6" t="s">
        <v>38</v>
      </c>
      <c r="E17" s="7" t="s">
        <v>39</v>
      </c>
    </row>
    <row r="18" customFormat="false" ht="21.75" hidden="false" customHeight="true" outlineLevel="0" collapsed="false">
      <c r="B18" s="4"/>
      <c r="C18" s="5" t="s">
        <v>6</v>
      </c>
      <c r="D18" s="9" t="s">
        <v>40</v>
      </c>
      <c r="E18" s="10" t="s">
        <v>41</v>
      </c>
    </row>
    <row r="19" customFormat="false" ht="21.75" hidden="false" customHeight="true" outlineLevel="0" collapsed="false">
      <c r="B19" s="21" t="s">
        <v>42</v>
      </c>
      <c r="C19" s="21"/>
      <c r="D19" s="21"/>
      <c r="E19" s="21"/>
    </row>
    <row r="20" customFormat="false" ht="21.75" hidden="false" customHeight="true" outlineLevel="0" collapsed="false">
      <c r="B20" s="16"/>
      <c r="C20" s="5" t="s">
        <v>25</v>
      </c>
      <c r="D20" s="9" t="s">
        <v>43</v>
      </c>
      <c r="E20" s="10" t="s">
        <v>44</v>
      </c>
    </row>
    <row r="21" customFormat="false" ht="21.75" hidden="false" customHeight="true" outlineLevel="0" collapsed="false">
      <c r="B21" s="4"/>
      <c r="C21" s="5" t="s">
        <v>6</v>
      </c>
      <c r="D21" s="6" t="s">
        <v>45</v>
      </c>
      <c r="E21" s="7" t="s">
        <v>46</v>
      </c>
    </row>
    <row r="22" customFormat="false" ht="21.75" hidden="false" customHeight="true" outlineLevel="0" collapsed="false">
      <c r="B22" s="22" t="s">
        <v>47</v>
      </c>
      <c r="C22" s="22"/>
      <c r="D22" s="22"/>
      <c r="E22" s="22"/>
    </row>
    <row r="23" customFormat="false" ht="21.75" hidden="false" customHeight="true" outlineLevel="0" collapsed="false">
      <c r="B23" s="23"/>
      <c r="C23" s="5" t="s">
        <v>48</v>
      </c>
      <c r="D23" s="6" t="s">
        <v>49</v>
      </c>
      <c r="E23" s="7" t="s">
        <v>50</v>
      </c>
    </row>
    <row r="24" customFormat="false" ht="21.75" hidden="false" customHeight="true" outlineLevel="0" collapsed="false">
      <c r="B24" s="24"/>
      <c r="C24" s="5" t="s">
        <v>51</v>
      </c>
      <c r="D24" s="9" t="s">
        <v>52</v>
      </c>
      <c r="E24" s="10" t="s">
        <v>53</v>
      </c>
    </row>
    <row r="25" customFormat="false" ht="21.75" hidden="false" customHeight="true" outlineLevel="0" collapsed="false">
      <c r="B25" s="25"/>
      <c r="C25" s="5" t="s">
        <v>54</v>
      </c>
      <c r="D25" s="6" t="s">
        <v>55</v>
      </c>
      <c r="E25" s="7" t="s">
        <v>56</v>
      </c>
    </row>
    <row r="26" customFormat="false" ht="21.75" hidden="false" customHeight="true" outlineLevel="0" collapsed="false">
      <c r="B26" s="26"/>
      <c r="C26" s="5" t="s">
        <v>57</v>
      </c>
      <c r="D26" s="9" t="s">
        <v>58</v>
      </c>
      <c r="E26" s="10" t="s">
        <v>59</v>
      </c>
    </row>
    <row r="27" customFormat="false" ht="21.75" hidden="false" customHeight="true" outlineLevel="0" collapsed="false">
      <c r="B27" s="27" t="s">
        <v>60</v>
      </c>
      <c r="C27" s="27"/>
      <c r="D27" s="27"/>
      <c r="E27" s="27"/>
    </row>
    <row r="28" customFormat="false" ht="21.75" hidden="false" customHeight="true" outlineLevel="0" collapsed="false">
      <c r="B28" s="28"/>
      <c r="C28" s="5" t="s">
        <v>61</v>
      </c>
      <c r="D28" s="9" t="s">
        <v>62</v>
      </c>
      <c r="E28" s="10" t="s">
        <v>63</v>
      </c>
    </row>
    <row r="29" customFormat="false" ht="21.75" hidden="false" customHeight="true" outlineLevel="0" collapsed="false">
      <c r="B29" s="29"/>
      <c r="C29" s="5" t="s">
        <v>64</v>
      </c>
      <c r="D29" s="6" t="s">
        <v>65</v>
      </c>
      <c r="E29" s="7" t="s">
        <v>66</v>
      </c>
    </row>
    <row r="30" customFormat="false" ht="21.75" hidden="false" customHeight="true" outlineLevel="0" collapsed="false">
      <c r="B30" s="30"/>
      <c r="C30" s="5" t="s">
        <v>67</v>
      </c>
      <c r="D30" s="9" t="s">
        <v>68</v>
      </c>
      <c r="E30" s="10" t="s">
        <v>69</v>
      </c>
    </row>
    <row r="31" customFormat="false" ht="21.75" hidden="false" customHeight="true" outlineLevel="0" collapsed="false">
      <c r="B31" s="31"/>
      <c r="C31" s="5" t="s">
        <v>70</v>
      </c>
      <c r="D31" s="6" t="s">
        <v>71</v>
      </c>
      <c r="E31" s="7" t="s">
        <v>72</v>
      </c>
    </row>
    <row r="32" customFormat="false" ht="21.75" hidden="false" customHeight="true" outlineLevel="0" collapsed="false">
      <c r="B32" s="32"/>
      <c r="C32" s="5" t="s">
        <v>73</v>
      </c>
      <c r="D32" s="9" t="s">
        <v>74</v>
      </c>
      <c r="E32" s="10" t="s">
        <v>75</v>
      </c>
    </row>
    <row r="33" customFormat="false" ht="21.75" hidden="false" customHeight="true" outlineLevel="0" collapsed="false"/>
    <row r="34" customFormat="false" ht="21.75" hidden="false" customHeight="true" outlineLevel="0" collapsed="false">
      <c r="B34" s="33" t="s">
        <v>76</v>
      </c>
      <c r="C34" s="33"/>
      <c r="D34" s="33"/>
      <c r="E34" s="33"/>
    </row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</sheetData>
  <mergeCells count="8">
    <mergeCell ref="B1:E1"/>
    <mergeCell ref="B4:E4"/>
    <mergeCell ref="B8:E8"/>
    <mergeCell ref="B13:E13"/>
    <mergeCell ref="B19:E19"/>
    <mergeCell ref="B22:E22"/>
    <mergeCell ref="B27:E27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45" hidden="false" customHeight="true" outlineLevel="0" collapsed="false">
      <c r="A1" s="34" t="s">
        <v>77</v>
      </c>
      <c r="B1" s="34"/>
      <c r="C1" s="34"/>
      <c r="D1" s="34"/>
      <c r="E1" s="34"/>
      <c r="F1" s="34"/>
      <c r="G1" s="34"/>
      <c r="H1" s="34"/>
      <c r="I1" s="34"/>
    </row>
    <row r="3" customFormat="false" ht="21.75" hidden="false" customHeight="true" outlineLevel="0" collapsed="false">
      <c r="A3" s="35" t="s">
        <v>78</v>
      </c>
      <c r="B3" s="35"/>
      <c r="C3" s="35"/>
      <c r="D3" s="35"/>
      <c r="E3" s="35"/>
      <c r="F3" s="35"/>
      <c r="G3" s="35"/>
    </row>
    <row r="4" customFormat="false" ht="19.5" hidden="false" customHeight="true" outlineLevel="0" collapsed="false">
      <c r="A4" s="36" t="s">
        <v>79</v>
      </c>
      <c r="B4" s="36" t="s">
        <v>80</v>
      </c>
      <c r="C4" s="36" t="s">
        <v>81</v>
      </c>
      <c r="D4" s="36" t="s">
        <v>82</v>
      </c>
      <c r="E4" s="36" t="s">
        <v>83</v>
      </c>
      <c r="F4" s="36" t="s">
        <v>84</v>
      </c>
      <c r="G4" s="36" t="s">
        <v>85</v>
      </c>
    </row>
    <row r="5" customFormat="false" ht="15" hidden="false" customHeight="false" outlineLevel="0" collapsed="false">
      <c r="A5" s="6" t="s">
        <v>86</v>
      </c>
      <c r="B5" s="37" t="n">
        <v>15</v>
      </c>
      <c r="C5" s="37" t="n">
        <v>40</v>
      </c>
      <c r="D5" s="37" t="n">
        <v>90</v>
      </c>
      <c r="E5" s="37" t="n">
        <v>180</v>
      </c>
      <c r="F5" s="37" t="n">
        <v>300</v>
      </c>
      <c r="G5" s="38" t="n">
        <f aca="false">(F5/B5)^(1/4)-1</f>
        <v>1.11474252688113</v>
      </c>
    </row>
    <row r="6" customFormat="false" ht="15" hidden="false" customHeight="false" outlineLevel="0" collapsed="false">
      <c r="A6" s="9" t="s">
        <v>87</v>
      </c>
      <c r="B6" s="39" t="n">
        <v>20</v>
      </c>
      <c r="C6" s="39" t="n">
        <v>55</v>
      </c>
      <c r="D6" s="39" t="n">
        <v>110</v>
      </c>
      <c r="E6" s="39" t="n">
        <v>200</v>
      </c>
      <c r="F6" s="39" t="n">
        <v>350</v>
      </c>
      <c r="G6" s="38" t="n">
        <f aca="false">(F6/B6)^(1/4)-1</f>
        <v>1.04531174461752</v>
      </c>
    </row>
    <row r="7" customFormat="false" ht="15" hidden="false" customHeight="false" outlineLevel="0" collapsed="false">
      <c r="A7" s="6" t="s">
        <v>88</v>
      </c>
      <c r="B7" s="37" t="n">
        <v>10</v>
      </c>
      <c r="C7" s="37" t="n">
        <v>25</v>
      </c>
      <c r="D7" s="37" t="n">
        <v>50</v>
      </c>
      <c r="E7" s="37" t="n">
        <v>90</v>
      </c>
      <c r="F7" s="37" t="n">
        <v>150</v>
      </c>
      <c r="G7" s="38" t="n">
        <f aca="false">(F7/B7)^(1/4)-1</f>
        <v>0.96798967126543</v>
      </c>
    </row>
    <row r="8" customFormat="false" ht="15" hidden="false" customHeight="false" outlineLevel="0" collapsed="false">
      <c r="A8" s="9" t="s">
        <v>89</v>
      </c>
      <c r="B8" s="39" t="n">
        <v>8</v>
      </c>
      <c r="C8" s="39" t="n">
        <v>20</v>
      </c>
      <c r="D8" s="39" t="n">
        <v>45</v>
      </c>
      <c r="E8" s="39" t="n">
        <v>85</v>
      </c>
      <c r="F8" s="39" t="n">
        <v>140</v>
      </c>
      <c r="G8" s="38" t="n">
        <f aca="false">(F8/B8)^(1/4)-1</f>
        <v>1.04531174461752</v>
      </c>
    </row>
    <row r="9" customFormat="false" ht="15" hidden="false" customHeight="false" outlineLevel="0" collapsed="false">
      <c r="A9" s="6" t="s">
        <v>90</v>
      </c>
      <c r="B9" s="37" t="n">
        <v>5</v>
      </c>
      <c r="C9" s="37" t="n">
        <v>18</v>
      </c>
      <c r="D9" s="37" t="n">
        <v>50</v>
      </c>
      <c r="E9" s="37" t="n">
        <v>110</v>
      </c>
      <c r="F9" s="37" t="n">
        <v>200</v>
      </c>
      <c r="G9" s="38" t="n">
        <f aca="false">(F9/B9)^(1/4)-1</f>
        <v>1.51486685936587</v>
      </c>
    </row>
    <row r="10" customFormat="false" ht="19.5" hidden="false" customHeight="true" outlineLevel="0" collapsed="false">
      <c r="A10" s="9" t="s">
        <v>91</v>
      </c>
      <c r="B10" s="39" t="n">
        <v>7</v>
      </c>
      <c r="C10" s="39" t="n">
        <v>22</v>
      </c>
      <c r="D10" s="39" t="n">
        <v>55</v>
      </c>
      <c r="E10" s="39" t="n">
        <v>100</v>
      </c>
      <c r="F10" s="39" t="n">
        <v>170</v>
      </c>
      <c r="G10" s="38" t="n">
        <f aca="false">(F10/B10)^(1/4)-1</f>
        <v>1.21992202634368</v>
      </c>
    </row>
    <row r="11" customFormat="false" ht="24" hidden="false" customHeight="true" outlineLevel="0" collapsed="false">
      <c r="A11" s="40" t="s">
        <v>92</v>
      </c>
      <c r="B11" s="41" t="n">
        <f aca="false">SUM(B5:B10)</f>
        <v>65</v>
      </c>
      <c r="C11" s="41" t="n">
        <f aca="false">SUM(C5:C10)</f>
        <v>180</v>
      </c>
      <c r="D11" s="41" t="n">
        <f aca="false">SUM(D5:D10)</f>
        <v>400</v>
      </c>
      <c r="E11" s="41" t="n">
        <f aca="false">SUM(E5:E10)</f>
        <v>765</v>
      </c>
      <c r="F11" s="41" t="n">
        <f aca="false">SUM(F5:F10)</f>
        <v>1310</v>
      </c>
      <c r="G11" s="41" t="n">
        <f aca="false">SUM(G5:G10)</f>
        <v>6.90814457309115</v>
      </c>
    </row>
    <row r="13" customFormat="false" ht="21.75" hidden="false" customHeight="true" outlineLevel="0" collapsed="false">
      <c r="A13" s="42" t="s">
        <v>93</v>
      </c>
      <c r="B13" s="42"/>
      <c r="C13" s="42"/>
      <c r="D13" s="42"/>
      <c r="E13" s="42"/>
      <c r="F13" s="42"/>
      <c r="G13" s="42"/>
    </row>
    <row r="14" customFormat="false" ht="15" hidden="false" customHeight="false" outlineLevel="0" collapsed="false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</row>
    <row r="15" customFormat="false" ht="15" hidden="false" customHeight="false" outlineLevel="0" collapsed="false">
      <c r="A15" s="43" t="s">
        <v>100</v>
      </c>
      <c r="B15" s="44" t="n">
        <v>3</v>
      </c>
      <c r="C15" s="45" t="n">
        <v>18</v>
      </c>
      <c r="D15" s="46" t="n">
        <f aca="false">B15*C15</f>
        <v>54</v>
      </c>
      <c r="E15" s="44" t="n">
        <v>8</v>
      </c>
      <c r="F15" s="46" t="n">
        <f aca="false">E15*C15</f>
        <v>144</v>
      </c>
    </row>
    <row r="16" customFormat="false" ht="15" hidden="false" customHeight="false" outlineLevel="0" collapsed="false">
      <c r="A16" s="47" t="s">
        <v>101</v>
      </c>
      <c r="B16" s="48" t="n">
        <v>2</v>
      </c>
      <c r="C16" s="49" t="n">
        <v>15</v>
      </c>
      <c r="D16" s="46" t="n">
        <f aca="false">B16*C16</f>
        <v>30</v>
      </c>
      <c r="E16" s="48" t="n">
        <v>6</v>
      </c>
      <c r="F16" s="46" t="n">
        <f aca="false">E16*C16</f>
        <v>90</v>
      </c>
    </row>
    <row r="17" customFormat="false" ht="15" hidden="false" customHeight="false" outlineLevel="0" collapsed="false">
      <c r="A17" s="43" t="s">
        <v>102</v>
      </c>
      <c r="B17" s="44" t="n">
        <v>1</v>
      </c>
      <c r="C17" s="45" t="n">
        <v>16</v>
      </c>
      <c r="D17" s="46" t="n">
        <f aca="false">B17*C17</f>
        <v>16</v>
      </c>
      <c r="E17" s="44" t="n">
        <v>3</v>
      </c>
      <c r="F17" s="46" t="n">
        <f aca="false">E17*C17</f>
        <v>48</v>
      </c>
    </row>
    <row r="18" customFormat="false" ht="15" hidden="false" customHeight="false" outlineLevel="0" collapsed="false">
      <c r="A18" s="47" t="s">
        <v>103</v>
      </c>
      <c r="B18" s="48" t="n">
        <v>2</v>
      </c>
      <c r="C18" s="49" t="n">
        <v>12</v>
      </c>
      <c r="D18" s="46" t="n">
        <f aca="false">B18*C18</f>
        <v>24</v>
      </c>
      <c r="E18" s="48" t="n">
        <v>5</v>
      </c>
      <c r="F18" s="46" t="n">
        <f aca="false">E18*C18</f>
        <v>60</v>
      </c>
    </row>
    <row r="19" customFormat="false" ht="15" hidden="false" customHeight="false" outlineLevel="0" collapsed="false">
      <c r="A19" s="43" t="s">
        <v>104</v>
      </c>
      <c r="B19" s="44" t="n">
        <v>1</v>
      </c>
      <c r="C19" s="45" t="n">
        <v>20</v>
      </c>
      <c r="D19" s="46" t="n">
        <f aca="false">B19*C19</f>
        <v>20</v>
      </c>
      <c r="E19" s="44" t="n">
        <v>3</v>
      </c>
      <c r="F19" s="46" t="n">
        <f aca="false">E19*C19</f>
        <v>60</v>
      </c>
    </row>
    <row r="20" customFormat="false" ht="15" hidden="false" customHeight="false" outlineLevel="0" collapsed="false">
      <c r="A20" s="47" t="s">
        <v>105</v>
      </c>
      <c r="B20" s="48" t="n">
        <v>1</v>
      </c>
      <c r="C20" s="49" t="n">
        <v>10</v>
      </c>
      <c r="D20" s="46" t="n">
        <f aca="false">B20*C20</f>
        <v>10</v>
      </c>
      <c r="E20" s="48" t="n">
        <v>2</v>
      </c>
      <c r="F20" s="46" t="n">
        <f aca="false">E20*C20</f>
        <v>20</v>
      </c>
    </row>
    <row r="21" customFormat="false" ht="15" hidden="false" customHeight="false" outlineLevel="0" collapsed="false">
      <c r="A21" s="40" t="s">
        <v>106</v>
      </c>
      <c r="D21" s="41" t="n">
        <f aca="false">SUM(D15:D20)</f>
        <v>154</v>
      </c>
      <c r="F21" s="41" t="n">
        <f aca="false">SUM(F15:F20)</f>
        <v>422</v>
      </c>
    </row>
  </sheetData>
  <mergeCells count="3">
    <mergeCell ref="A1:I1"/>
    <mergeCell ref="A3:G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39.75" hidden="false" customHeight="true" outlineLevel="0" collapsed="false">
      <c r="A1" s="50" t="s">
        <v>107</v>
      </c>
      <c r="B1" s="50"/>
      <c r="C1" s="50"/>
      <c r="D1" s="50"/>
      <c r="E1" s="50"/>
      <c r="F1" s="50"/>
    </row>
    <row r="3" customFormat="false" ht="21.75" hidden="false" customHeight="true" outlineLevel="0" collapsed="false">
      <c r="A3" s="51" t="s">
        <v>108</v>
      </c>
      <c r="B3" s="51"/>
      <c r="C3" s="51"/>
      <c r="D3" s="51"/>
      <c r="E3" s="51"/>
      <c r="F3" s="51"/>
    </row>
    <row r="4" customFormat="false" ht="18" hidden="false" customHeight="true" outlineLevel="0" collapsed="false">
      <c r="A4" s="52" t="s">
        <v>109</v>
      </c>
      <c r="B4" s="52" t="s">
        <v>110</v>
      </c>
      <c r="C4" s="52" t="s">
        <v>111</v>
      </c>
      <c r="D4" s="52" t="s">
        <v>112</v>
      </c>
      <c r="E4" s="52" t="s">
        <v>113</v>
      </c>
      <c r="F4" s="52" t="s">
        <v>114</v>
      </c>
    </row>
    <row r="5" customFormat="false" ht="19.5" hidden="false" customHeight="true" outlineLevel="0" collapsed="false">
      <c r="A5" s="53" t="n">
        <v>1</v>
      </c>
      <c r="B5" s="6" t="s">
        <v>115</v>
      </c>
      <c r="C5" s="54" t="s">
        <v>116</v>
      </c>
      <c r="D5" s="55" t="s">
        <v>117</v>
      </c>
      <c r="E5" s="54" t="s">
        <v>118</v>
      </c>
      <c r="F5" s="56" t="s">
        <v>119</v>
      </c>
    </row>
    <row r="6" customFormat="false" ht="19.5" hidden="false" customHeight="true" outlineLevel="0" collapsed="false">
      <c r="A6" s="57" t="n">
        <v>2</v>
      </c>
      <c r="B6" s="9" t="s">
        <v>120</v>
      </c>
      <c r="C6" s="58" t="s">
        <v>121</v>
      </c>
      <c r="D6" s="55" t="s">
        <v>117</v>
      </c>
      <c r="E6" s="58" t="s">
        <v>122</v>
      </c>
      <c r="F6" s="59" t="s">
        <v>119</v>
      </c>
    </row>
    <row r="7" customFormat="false" ht="19.5" hidden="false" customHeight="true" outlineLevel="0" collapsed="false">
      <c r="A7" s="53" t="n">
        <v>3</v>
      </c>
      <c r="B7" s="6" t="s">
        <v>123</v>
      </c>
      <c r="C7" s="54" t="s">
        <v>116</v>
      </c>
      <c r="D7" s="55" t="s">
        <v>117</v>
      </c>
      <c r="E7" s="54" t="s">
        <v>122</v>
      </c>
      <c r="F7" s="56" t="s">
        <v>119</v>
      </c>
    </row>
    <row r="8" customFormat="false" ht="19.5" hidden="false" customHeight="true" outlineLevel="0" collapsed="false">
      <c r="A8" s="57" t="n">
        <v>4</v>
      </c>
      <c r="B8" s="9" t="s">
        <v>124</v>
      </c>
      <c r="C8" s="58" t="s">
        <v>125</v>
      </c>
      <c r="D8" s="55" t="s">
        <v>117</v>
      </c>
      <c r="E8" s="58" t="s">
        <v>126</v>
      </c>
      <c r="F8" s="59" t="s">
        <v>119</v>
      </c>
    </row>
    <row r="9" customFormat="false" ht="19.5" hidden="false" customHeight="true" outlineLevel="0" collapsed="false">
      <c r="A9" s="53" t="n">
        <v>5</v>
      </c>
      <c r="B9" s="6" t="s">
        <v>127</v>
      </c>
      <c r="C9" s="54" t="s">
        <v>128</v>
      </c>
      <c r="D9" s="55" t="s">
        <v>117</v>
      </c>
      <c r="E9" s="54" t="s">
        <v>126</v>
      </c>
      <c r="F9" s="56" t="s">
        <v>119</v>
      </c>
    </row>
    <row r="10" customFormat="false" ht="19.5" hidden="false" customHeight="true" outlineLevel="0" collapsed="false">
      <c r="A10" s="57" t="n">
        <v>6</v>
      </c>
      <c r="B10" s="9" t="s">
        <v>129</v>
      </c>
      <c r="C10" s="58" t="s">
        <v>130</v>
      </c>
      <c r="D10" s="60" t="s">
        <v>131</v>
      </c>
      <c r="E10" s="58" t="s">
        <v>132</v>
      </c>
      <c r="F10" s="59" t="s">
        <v>119</v>
      </c>
    </row>
    <row r="11" customFormat="false" ht="19.5" hidden="false" customHeight="true" outlineLevel="0" collapsed="false">
      <c r="A11" s="53" t="n">
        <v>7</v>
      </c>
      <c r="B11" s="6" t="s">
        <v>133</v>
      </c>
      <c r="C11" s="54" t="s">
        <v>134</v>
      </c>
      <c r="D11" s="61" t="s">
        <v>135</v>
      </c>
      <c r="E11" s="54" t="s">
        <v>132</v>
      </c>
      <c r="F11" s="56" t="s">
        <v>119</v>
      </c>
    </row>
    <row r="12" customFormat="false" ht="19.5" hidden="false" customHeight="true" outlineLevel="0" collapsed="false">
      <c r="A12" s="57" t="n">
        <v>8</v>
      </c>
      <c r="B12" s="9" t="s">
        <v>136</v>
      </c>
      <c r="C12" s="58" t="s">
        <v>137</v>
      </c>
      <c r="D12" s="55" t="s">
        <v>117</v>
      </c>
      <c r="E12" s="58" t="s">
        <v>118</v>
      </c>
      <c r="F12" s="59" t="s">
        <v>119</v>
      </c>
    </row>
    <row r="14" customFormat="false" ht="21.75" hidden="false" customHeight="true" outlineLevel="0" collapsed="false">
      <c r="A14" s="62" t="s">
        <v>138</v>
      </c>
      <c r="B14" s="62"/>
      <c r="C14" s="62"/>
      <c r="D14" s="62"/>
      <c r="E14" s="62"/>
      <c r="F14" s="62"/>
    </row>
    <row r="15" customFormat="false" ht="18" hidden="false" customHeight="true" outlineLevel="0" collapsed="false">
      <c r="A15" s="52" t="s">
        <v>109</v>
      </c>
      <c r="B15" s="52" t="s">
        <v>110</v>
      </c>
      <c r="C15" s="52" t="s">
        <v>111</v>
      </c>
      <c r="D15" s="52" t="s">
        <v>112</v>
      </c>
      <c r="E15" s="52" t="s">
        <v>113</v>
      </c>
      <c r="F15" s="52" t="s">
        <v>114</v>
      </c>
    </row>
    <row r="16" customFormat="false" ht="19.5" hidden="false" customHeight="true" outlineLevel="0" collapsed="false">
      <c r="A16" s="53" t="n">
        <v>1</v>
      </c>
      <c r="B16" s="6" t="s">
        <v>139</v>
      </c>
      <c r="C16" s="54" t="s">
        <v>140</v>
      </c>
      <c r="D16" s="55" t="s">
        <v>117</v>
      </c>
      <c r="E16" s="54" t="s">
        <v>141</v>
      </c>
      <c r="F16" s="56" t="s">
        <v>119</v>
      </c>
    </row>
    <row r="17" customFormat="false" ht="19.5" hidden="false" customHeight="true" outlineLevel="0" collapsed="false">
      <c r="A17" s="57" t="n">
        <v>2</v>
      </c>
      <c r="B17" s="9" t="s">
        <v>142</v>
      </c>
      <c r="C17" s="58" t="s">
        <v>143</v>
      </c>
      <c r="D17" s="60" t="s">
        <v>131</v>
      </c>
      <c r="E17" s="58" t="s">
        <v>141</v>
      </c>
      <c r="F17" s="59" t="s">
        <v>119</v>
      </c>
    </row>
    <row r="18" customFormat="false" ht="19.5" hidden="false" customHeight="true" outlineLevel="0" collapsed="false">
      <c r="A18" s="53" t="n">
        <v>3</v>
      </c>
      <c r="B18" s="6" t="s">
        <v>144</v>
      </c>
      <c r="C18" s="54" t="s">
        <v>145</v>
      </c>
      <c r="D18" s="55" t="s">
        <v>117</v>
      </c>
      <c r="E18" s="54" t="s">
        <v>146</v>
      </c>
      <c r="F18" s="56" t="s">
        <v>119</v>
      </c>
    </row>
    <row r="19" customFormat="false" ht="19.5" hidden="false" customHeight="true" outlineLevel="0" collapsed="false">
      <c r="A19" s="57" t="n">
        <v>4</v>
      </c>
      <c r="B19" s="9" t="s">
        <v>147</v>
      </c>
      <c r="C19" s="58" t="s">
        <v>148</v>
      </c>
      <c r="D19" s="55" t="s">
        <v>117</v>
      </c>
      <c r="E19" s="58" t="s">
        <v>141</v>
      </c>
      <c r="F19" s="59" t="s">
        <v>119</v>
      </c>
    </row>
    <row r="20" customFormat="false" ht="19.5" hidden="false" customHeight="true" outlineLevel="0" collapsed="false">
      <c r="A20" s="53" t="n">
        <v>5</v>
      </c>
      <c r="B20" s="6" t="s">
        <v>149</v>
      </c>
      <c r="C20" s="54" t="s">
        <v>150</v>
      </c>
      <c r="D20" s="61" t="s">
        <v>135</v>
      </c>
      <c r="E20" s="54" t="s">
        <v>146</v>
      </c>
      <c r="F20" s="56" t="s">
        <v>119</v>
      </c>
    </row>
    <row r="21" customFormat="false" ht="19.5" hidden="false" customHeight="true" outlineLevel="0" collapsed="false">
      <c r="A21" s="57" t="n">
        <v>6</v>
      </c>
      <c r="B21" s="9" t="s">
        <v>151</v>
      </c>
      <c r="C21" s="58" t="s">
        <v>152</v>
      </c>
      <c r="D21" s="55" t="s">
        <v>117</v>
      </c>
      <c r="E21" s="58" t="s">
        <v>141</v>
      </c>
      <c r="F21" s="59" t="s">
        <v>119</v>
      </c>
    </row>
    <row r="22" customFormat="false" ht="19.5" hidden="false" customHeight="true" outlineLevel="0" collapsed="false">
      <c r="A22" s="53" t="n">
        <v>7</v>
      </c>
      <c r="B22" s="6" t="s">
        <v>153</v>
      </c>
      <c r="C22" s="54" t="s">
        <v>154</v>
      </c>
      <c r="D22" s="55" t="s">
        <v>117</v>
      </c>
      <c r="E22" s="54" t="s">
        <v>146</v>
      </c>
      <c r="F22" s="56" t="s">
        <v>119</v>
      </c>
    </row>
    <row r="23" customFormat="false" ht="19.5" hidden="false" customHeight="true" outlineLevel="0" collapsed="false">
      <c r="A23" s="57" t="n">
        <v>8</v>
      </c>
      <c r="B23" s="9" t="s">
        <v>155</v>
      </c>
      <c r="C23" s="58" t="s">
        <v>156</v>
      </c>
      <c r="D23" s="60" t="s">
        <v>131</v>
      </c>
      <c r="E23" s="58" t="s">
        <v>157</v>
      </c>
      <c r="F23" s="59" t="s">
        <v>119</v>
      </c>
    </row>
    <row r="25" customFormat="false" ht="21.75" hidden="false" customHeight="true" outlineLevel="0" collapsed="false">
      <c r="A25" s="63" t="s">
        <v>158</v>
      </c>
      <c r="B25" s="63"/>
      <c r="C25" s="63"/>
      <c r="D25" s="63"/>
      <c r="E25" s="63"/>
      <c r="F25" s="63"/>
    </row>
    <row r="26" customFormat="false" ht="18" hidden="false" customHeight="true" outlineLevel="0" collapsed="false">
      <c r="A26" s="52" t="s">
        <v>109</v>
      </c>
      <c r="B26" s="52" t="s">
        <v>110</v>
      </c>
      <c r="C26" s="52" t="s">
        <v>111</v>
      </c>
      <c r="D26" s="52" t="s">
        <v>112</v>
      </c>
      <c r="E26" s="52" t="s">
        <v>113</v>
      </c>
      <c r="F26" s="52" t="s">
        <v>114</v>
      </c>
    </row>
    <row r="27" customFormat="false" ht="19.5" hidden="false" customHeight="true" outlineLevel="0" collapsed="false">
      <c r="A27" s="53" t="n">
        <v>1</v>
      </c>
      <c r="B27" s="6" t="s">
        <v>159</v>
      </c>
      <c r="C27" s="54" t="s">
        <v>160</v>
      </c>
      <c r="D27" s="61" t="s">
        <v>135</v>
      </c>
      <c r="E27" s="54" t="s">
        <v>161</v>
      </c>
      <c r="F27" s="56" t="s">
        <v>119</v>
      </c>
    </row>
    <row r="28" customFormat="false" ht="19.5" hidden="false" customHeight="true" outlineLevel="0" collapsed="false">
      <c r="A28" s="57" t="n">
        <v>2</v>
      </c>
      <c r="B28" s="9" t="s">
        <v>162</v>
      </c>
      <c r="C28" s="58" t="s">
        <v>163</v>
      </c>
      <c r="D28" s="55" t="s">
        <v>117</v>
      </c>
      <c r="E28" s="58" t="s">
        <v>157</v>
      </c>
      <c r="F28" s="59" t="s">
        <v>119</v>
      </c>
    </row>
    <row r="29" customFormat="false" ht="19.5" hidden="false" customHeight="true" outlineLevel="0" collapsed="false">
      <c r="A29" s="53" t="n">
        <v>3</v>
      </c>
      <c r="B29" s="6" t="s">
        <v>164</v>
      </c>
      <c r="C29" s="54" t="s">
        <v>165</v>
      </c>
      <c r="D29" s="55" t="s">
        <v>117</v>
      </c>
      <c r="E29" s="54" t="s">
        <v>161</v>
      </c>
      <c r="F29" s="56" t="s">
        <v>119</v>
      </c>
    </row>
    <row r="30" customFormat="false" ht="19.5" hidden="false" customHeight="true" outlineLevel="0" collapsed="false">
      <c r="A30" s="57" t="n">
        <v>4</v>
      </c>
      <c r="B30" s="9" t="s">
        <v>166</v>
      </c>
      <c r="C30" s="58" t="s">
        <v>167</v>
      </c>
      <c r="D30" s="61" t="s">
        <v>135</v>
      </c>
      <c r="E30" s="58" t="s">
        <v>168</v>
      </c>
      <c r="F30" s="59" t="s">
        <v>119</v>
      </c>
    </row>
    <row r="31" customFormat="false" ht="19.5" hidden="false" customHeight="true" outlineLevel="0" collapsed="false">
      <c r="A31" s="53" t="n">
        <v>5</v>
      </c>
      <c r="B31" s="6" t="s">
        <v>169</v>
      </c>
      <c r="C31" s="54" t="s">
        <v>170</v>
      </c>
      <c r="D31" s="55" t="s">
        <v>117</v>
      </c>
      <c r="E31" s="54" t="s">
        <v>171</v>
      </c>
      <c r="F31" s="56" t="s">
        <v>119</v>
      </c>
    </row>
    <row r="32" customFormat="false" ht="19.5" hidden="false" customHeight="true" outlineLevel="0" collapsed="false">
      <c r="A32" s="57" t="n">
        <v>6</v>
      </c>
      <c r="B32" s="9" t="s">
        <v>172</v>
      </c>
      <c r="C32" s="58" t="s">
        <v>173</v>
      </c>
      <c r="D32" s="61" t="s">
        <v>135</v>
      </c>
      <c r="E32" s="58" t="s">
        <v>168</v>
      </c>
      <c r="F32" s="59" t="s">
        <v>119</v>
      </c>
    </row>
    <row r="33" customFormat="false" ht="19.5" hidden="false" customHeight="true" outlineLevel="0" collapsed="false">
      <c r="A33" s="53" t="n">
        <v>7</v>
      </c>
      <c r="B33" s="6" t="s">
        <v>174</v>
      </c>
      <c r="C33" s="54" t="s">
        <v>175</v>
      </c>
      <c r="D33" s="55" t="s">
        <v>117</v>
      </c>
      <c r="E33" s="54" t="s">
        <v>171</v>
      </c>
      <c r="F33" s="56" t="s">
        <v>119</v>
      </c>
    </row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7" min="4" style="0" width="10"/>
  </cols>
  <sheetData>
    <row r="1" customFormat="false" ht="39.75" hidden="false" customHeight="true" outlineLevel="0" collapsed="false">
      <c r="A1" s="50" t="s">
        <v>176</v>
      </c>
      <c r="B1" s="50"/>
      <c r="C1" s="50"/>
      <c r="D1" s="50"/>
      <c r="E1" s="50"/>
      <c r="F1" s="50"/>
      <c r="G1" s="50"/>
    </row>
    <row r="3" customFormat="false" ht="21.75" hidden="false" customHeight="true" outlineLevel="0" collapsed="false">
      <c r="A3" s="51" t="s">
        <v>177</v>
      </c>
      <c r="B3" s="51"/>
      <c r="C3" s="51"/>
      <c r="D3" s="51"/>
      <c r="E3" s="51"/>
      <c r="F3" s="51"/>
      <c r="G3" s="51"/>
    </row>
    <row r="4" customFormat="false" ht="18" hidden="false" customHeight="true" outlineLevel="0" collapsed="false">
      <c r="A4" s="64" t="s">
        <v>178</v>
      </c>
      <c r="B4" s="64" t="s">
        <v>179</v>
      </c>
      <c r="C4" s="64" t="s">
        <v>180</v>
      </c>
      <c r="D4" s="64"/>
      <c r="E4" s="64"/>
      <c r="F4" s="64"/>
      <c r="G4" s="64"/>
    </row>
    <row r="5" customFormat="false" ht="19.5" hidden="false" customHeight="true" outlineLevel="0" collapsed="false">
      <c r="A5" s="65" t="s">
        <v>181</v>
      </c>
      <c r="B5" s="66" t="s">
        <v>182</v>
      </c>
      <c r="C5" s="67" t="s">
        <v>183</v>
      </c>
      <c r="D5" s="67"/>
      <c r="E5" s="67"/>
      <c r="F5" s="67"/>
      <c r="G5" s="67"/>
    </row>
    <row r="6" customFormat="false" ht="19.5" hidden="false" customHeight="true" outlineLevel="0" collapsed="false">
      <c r="A6" s="68" t="s">
        <v>184</v>
      </c>
      <c r="B6" s="69" t="s">
        <v>116</v>
      </c>
      <c r="C6" s="70" t="s">
        <v>185</v>
      </c>
      <c r="D6" s="70"/>
      <c r="E6" s="70"/>
      <c r="F6" s="70"/>
      <c r="G6" s="70"/>
    </row>
    <row r="7" customFormat="false" ht="19.5" hidden="false" customHeight="true" outlineLevel="0" collapsed="false">
      <c r="A7" s="65" t="s">
        <v>186</v>
      </c>
      <c r="B7" s="66" t="s">
        <v>116</v>
      </c>
      <c r="C7" s="67" t="s">
        <v>187</v>
      </c>
      <c r="D7" s="67"/>
      <c r="E7" s="67"/>
      <c r="F7" s="67"/>
      <c r="G7" s="67"/>
    </row>
    <row r="8" customFormat="false" ht="19.5" hidden="false" customHeight="true" outlineLevel="0" collapsed="false">
      <c r="A8" s="68" t="s">
        <v>188</v>
      </c>
      <c r="B8" s="69" t="s">
        <v>116</v>
      </c>
      <c r="C8" s="70" t="s">
        <v>189</v>
      </c>
      <c r="D8" s="70"/>
      <c r="E8" s="70"/>
      <c r="F8" s="70"/>
      <c r="G8" s="70"/>
    </row>
    <row r="10" customFormat="false" ht="21.75" hidden="false" customHeight="true" outlineLevel="0" collapsed="false">
      <c r="A10" s="62" t="s">
        <v>190</v>
      </c>
      <c r="B10" s="62"/>
      <c r="C10" s="62"/>
      <c r="D10" s="62"/>
      <c r="E10" s="62"/>
      <c r="F10" s="62"/>
      <c r="G10" s="62"/>
    </row>
    <row r="11" customFormat="false" ht="18" hidden="false" customHeight="true" outlineLevel="0" collapsed="false">
      <c r="A11" s="64" t="s">
        <v>178</v>
      </c>
      <c r="B11" s="64" t="s">
        <v>179</v>
      </c>
      <c r="C11" s="64" t="s">
        <v>180</v>
      </c>
      <c r="D11" s="64"/>
      <c r="E11" s="64"/>
      <c r="F11" s="64"/>
      <c r="G11" s="64"/>
    </row>
    <row r="12" customFormat="false" ht="19.5" hidden="false" customHeight="true" outlineLevel="0" collapsed="false">
      <c r="A12" s="65" t="s">
        <v>191</v>
      </c>
      <c r="B12" s="66" t="s">
        <v>130</v>
      </c>
      <c r="C12" s="67" t="s">
        <v>192</v>
      </c>
      <c r="D12" s="67"/>
      <c r="E12" s="67"/>
      <c r="F12" s="67"/>
      <c r="G12" s="67"/>
    </row>
    <row r="13" customFormat="false" ht="19.5" hidden="false" customHeight="true" outlineLevel="0" collapsed="false">
      <c r="A13" s="68" t="s">
        <v>193</v>
      </c>
      <c r="B13" s="69" t="s">
        <v>130</v>
      </c>
      <c r="C13" s="70" t="s">
        <v>194</v>
      </c>
      <c r="D13" s="70"/>
      <c r="E13" s="70"/>
      <c r="F13" s="70"/>
      <c r="G13" s="70"/>
    </row>
    <row r="14" customFormat="false" ht="19.5" hidden="false" customHeight="true" outlineLevel="0" collapsed="false">
      <c r="A14" s="65" t="s">
        <v>195</v>
      </c>
      <c r="B14" s="66" t="s">
        <v>116</v>
      </c>
      <c r="C14" s="67" t="s">
        <v>196</v>
      </c>
      <c r="D14" s="67"/>
      <c r="E14" s="67"/>
      <c r="F14" s="67"/>
      <c r="G14" s="67"/>
    </row>
    <row r="15" customFormat="false" ht="19.5" hidden="false" customHeight="true" outlineLevel="0" collapsed="false">
      <c r="A15" s="68" t="s">
        <v>197</v>
      </c>
      <c r="B15" s="69" t="s">
        <v>116</v>
      </c>
      <c r="C15" s="70" t="s">
        <v>198</v>
      </c>
      <c r="D15" s="70"/>
      <c r="E15" s="70"/>
      <c r="F15" s="70"/>
      <c r="G15" s="70"/>
    </row>
    <row r="16" customFormat="false" ht="19.5" hidden="false" customHeight="true" outlineLevel="0" collapsed="false">
      <c r="A16" s="65" t="s">
        <v>199</v>
      </c>
      <c r="B16" s="66" t="s">
        <v>200</v>
      </c>
      <c r="C16" s="67" t="s">
        <v>201</v>
      </c>
      <c r="D16" s="67"/>
      <c r="E16" s="67"/>
      <c r="F16" s="67"/>
      <c r="G16" s="67"/>
    </row>
    <row r="17" customFormat="false" ht="19.5" hidden="false" customHeight="true" outlineLevel="0" collapsed="false">
      <c r="A17" s="68" t="s">
        <v>202</v>
      </c>
      <c r="B17" s="69" t="s">
        <v>200</v>
      </c>
      <c r="C17" s="70" t="s">
        <v>203</v>
      </c>
      <c r="D17" s="70"/>
      <c r="E17" s="70"/>
      <c r="F17" s="70"/>
      <c r="G17" s="70"/>
    </row>
    <row r="19" customFormat="false" ht="21.75" hidden="false" customHeight="true" outlineLevel="0" collapsed="false">
      <c r="A19" s="63" t="s">
        <v>204</v>
      </c>
      <c r="B19" s="63"/>
      <c r="C19" s="63"/>
      <c r="D19" s="63"/>
      <c r="E19" s="63"/>
      <c r="F19" s="63"/>
      <c r="G19" s="63"/>
    </row>
    <row r="20" customFormat="false" ht="18" hidden="false" customHeight="true" outlineLevel="0" collapsed="false">
      <c r="A20" s="64" t="s">
        <v>178</v>
      </c>
      <c r="B20" s="64" t="s">
        <v>179</v>
      </c>
      <c r="C20" s="64" t="s">
        <v>180</v>
      </c>
      <c r="D20" s="64"/>
      <c r="E20" s="64"/>
      <c r="F20" s="64"/>
      <c r="G20" s="64"/>
    </row>
    <row r="21" customFormat="false" ht="19.5" hidden="false" customHeight="true" outlineLevel="0" collapsed="false">
      <c r="A21" s="65" t="s">
        <v>205</v>
      </c>
      <c r="B21" s="66" t="s">
        <v>206</v>
      </c>
      <c r="C21" s="67" t="s">
        <v>207</v>
      </c>
      <c r="D21" s="67"/>
      <c r="E21" s="67"/>
      <c r="F21" s="67"/>
      <c r="G21" s="67"/>
    </row>
    <row r="22" customFormat="false" ht="19.5" hidden="false" customHeight="true" outlineLevel="0" collapsed="false">
      <c r="A22" s="68" t="s">
        <v>208</v>
      </c>
      <c r="B22" s="69" t="s">
        <v>209</v>
      </c>
      <c r="C22" s="70" t="s">
        <v>210</v>
      </c>
      <c r="D22" s="70"/>
      <c r="E22" s="70"/>
      <c r="F22" s="70"/>
      <c r="G22" s="70"/>
    </row>
    <row r="23" customFormat="false" ht="19.5" hidden="false" customHeight="true" outlineLevel="0" collapsed="false">
      <c r="A23" s="65" t="s">
        <v>211</v>
      </c>
      <c r="B23" s="66" t="s">
        <v>212</v>
      </c>
      <c r="C23" s="67" t="s">
        <v>213</v>
      </c>
      <c r="D23" s="67"/>
      <c r="E23" s="67"/>
      <c r="F23" s="67"/>
      <c r="G23" s="67"/>
    </row>
    <row r="24" customFormat="false" ht="19.5" hidden="false" customHeight="true" outlineLevel="0" collapsed="false">
      <c r="A24" s="68" t="s">
        <v>214</v>
      </c>
      <c r="B24" s="69" t="s">
        <v>215</v>
      </c>
      <c r="C24" s="70" t="s">
        <v>216</v>
      </c>
      <c r="D24" s="70"/>
      <c r="E24" s="70"/>
      <c r="F24" s="70"/>
      <c r="G24" s="70"/>
    </row>
    <row r="25" customFormat="false" ht="19.5" hidden="false" customHeight="true" outlineLevel="0" collapsed="false">
      <c r="A25" s="65" t="s">
        <v>217</v>
      </c>
      <c r="B25" s="66" t="s">
        <v>215</v>
      </c>
      <c r="C25" s="67" t="s">
        <v>218</v>
      </c>
      <c r="D25" s="67"/>
      <c r="E25" s="67"/>
      <c r="F25" s="67"/>
      <c r="G25" s="67"/>
    </row>
    <row r="26" customFormat="false" ht="19.5" hidden="false" customHeight="true" outlineLevel="0" collapsed="false">
      <c r="A26" s="68" t="s">
        <v>219</v>
      </c>
      <c r="B26" s="69" t="s">
        <v>215</v>
      </c>
      <c r="C26" s="70" t="s">
        <v>220</v>
      </c>
      <c r="D26" s="70"/>
      <c r="E26" s="70"/>
      <c r="F26" s="70"/>
      <c r="G26" s="70"/>
    </row>
    <row r="27" customFormat="false" ht="19.5" hidden="false" customHeight="true" outlineLevel="0" collapsed="false">
      <c r="A27" s="65" t="s">
        <v>221</v>
      </c>
      <c r="B27" s="66" t="s">
        <v>215</v>
      </c>
      <c r="C27" s="67" t="s">
        <v>222</v>
      </c>
      <c r="D27" s="67"/>
      <c r="E27" s="67"/>
      <c r="F27" s="67"/>
      <c r="G27" s="67"/>
    </row>
    <row r="28" customFormat="false" ht="19.5" hidden="false" customHeight="true" outlineLevel="0" collapsed="false">
      <c r="A28" s="68" t="s">
        <v>223</v>
      </c>
      <c r="B28" s="69" t="s">
        <v>224</v>
      </c>
      <c r="C28" s="70" t="s">
        <v>225</v>
      </c>
      <c r="D28" s="70"/>
      <c r="E28" s="70"/>
      <c r="F28" s="70"/>
      <c r="G28" s="70"/>
    </row>
    <row r="29" customFormat="false" ht="19.5" hidden="false" customHeight="true" outlineLevel="0" collapsed="false">
      <c r="A29" s="65" t="s">
        <v>226</v>
      </c>
      <c r="B29" s="66" t="s">
        <v>227</v>
      </c>
      <c r="C29" s="67" t="s">
        <v>228</v>
      </c>
      <c r="D29" s="67"/>
      <c r="E29" s="67"/>
      <c r="F29" s="67"/>
      <c r="G29" s="67"/>
    </row>
    <row r="30" customFormat="false" ht="19.5" hidden="false" customHeight="true" outlineLevel="0" collapsed="false">
      <c r="A30" s="68" t="s">
        <v>229</v>
      </c>
      <c r="B30" s="69" t="s">
        <v>224</v>
      </c>
      <c r="C30" s="70" t="s">
        <v>230</v>
      </c>
      <c r="D30" s="70"/>
      <c r="E30" s="70"/>
      <c r="F30" s="70"/>
      <c r="G30" s="70"/>
    </row>
  </sheetData>
  <mergeCells count="27">
    <mergeCell ref="A1:G1"/>
    <mergeCell ref="A3:G3"/>
    <mergeCell ref="C4:G4"/>
    <mergeCell ref="C5:G5"/>
    <mergeCell ref="C6:G6"/>
    <mergeCell ref="C7:G7"/>
    <mergeCell ref="C8:G8"/>
    <mergeCell ref="A10:G10"/>
    <mergeCell ref="C11:G11"/>
    <mergeCell ref="C12:G12"/>
    <mergeCell ref="C13:G13"/>
    <mergeCell ref="C14:G14"/>
    <mergeCell ref="C15:G15"/>
    <mergeCell ref="C16:G16"/>
    <mergeCell ref="C17:G17"/>
    <mergeCell ref="A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2026-03-08T18:30:02Z</dcterms:created>
  <dc:creator>openpyxl</dc:creator>
  <dc:description/>
  <dc:language>en-US</dc:language>
  <cp:lastModifiedBy/>
  <dcterms:modified xsi:type="dcterms:W3CDTF">2026-03-08T18:30:03Z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